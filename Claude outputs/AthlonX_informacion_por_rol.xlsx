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Campos por rol" sheetId="2" state="visible" r:id="rId4"/>
    <sheet name="Vínculos por rol" sheetId="3" state="visible" r:id="rId5"/>
    <sheet name="Pendientes BD" sheetId="4" state="visible" r:id="rId6"/>
    <sheet name="Resumen" sheetId="5" state="visible" r:id="rId7"/>
  </sheets>
  <definedNames>
    <definedName function="false" hidden="true" localSheetId="1" name="_xlnm._FilterDatabase" vbProcedure="false">'Campos por rol'!$A$1:$J$26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<sst xmlns="http://schemas.openxmlformats.org/spreadsheetml/2006/main" count="348" uniqueCount="168">
  <si>
    <t xml:space="preserve">AthlonX · Información del perfil por rol</t>
  </si>
  <si>
    <t xml:space="preserve">Propósito: definir qué información tiene cada persona según su rol (Atleta, Entrenador, Staff, Directivo) antes de construir el perfil.</t>
  </si>
  <si>
    <t xml:space="preserve">Cómo usarla: revisa la hoja 'Campos por rol'. Cambia 'Sí', 'No' u 'Opcional' solo en las celdas de color crema.</t>
  </si>
  <si>
    <t xml:space="preserve">Las columnas de rol indican si ese campo aparece en el perfil de esa persona.</t>
  </si>
  <si>
    <t xml:space="preserve">'Visibilidad' indica quién puede ver el dato: Dueño (solo la persona), Público, Equipo u Organización.</t>
  </si>
  <si>
    <t xml:space="preserve">'Estado' compara con la base de datos actual: 'Existe y se muestra', 'Existe, no se muestra' o 'Falta crear'.</t>
  </si>
  <si>
    <t xml:space="preserve">La hoja 'Vínculos por rol' muestra cómo una persona puede pertenecer a varios equipos, organizaciones y disciplinas.</t>
  </si>
  <si>
    <t xml:space="preserve">La hoja 'Pendientes BD' lista los datos que hoy no existen y necesitan decisión antes de crear columnas.</t>
  </si>
  <si>
    <t xml:space="preserve">La hoja 'Resumen' cuenta automáticamente los campos por rol. Se actualiza al cambiar la hoja 'Campos por rol'.</t>
  </si>
  <si>
    <t xml:space="preserve">Campo</t>
  </si>
  <si>
    <t xml:space="preserve">Sección</t>
  </si>
  <si>
    <t xml:space="preserve">Atleta</t>
  </si>
  <si>
    <t xml:space="preserve">Entrenador</t>
  </si>
  <si>
    <t xml:space="preserve">Staff</t>
  </si>
  <si>
    <t xml:space="preserve">Directivo</t>
  </si>
  <si>
    <t xml:space="preserve">Visibilidad</t>
  </si>
  <si>
    <t xml:space="preserve">Dato en base de datos</t>
  </si>
  <si>
    <t xml:space="preserve">Estado actual</t>
  </si>
  <si>
    <t xml:space="preserve">Notas</t>
  </si>
  <si>
    <t xml:space="preserve">Nombre</t>
  </si>
  <si>
    <t xml:space="preserve">Identidad</t>
  </si>
  <si>
    <t xml:space="preserve">Sí</t>
  </si>
  <si>
    <t xml:space="preserve">Público</t>
  </si>
  <si>
    <t xml:space="preserve">profiles.first_name</t>
  </si>
  <si>
    <t xml:space="preserve">Existe, no se muestra en el perfil</t>
  </si>
  <si>
    <t xml:space="preserve">Obligatorio al registrar. Se edita en Configuración.</t>
  </si>
  <si>
    <t xml:space="preserve">Apellido</t>
  </si>
  <si>
    <t xml:space="preserve">profiles.last_name</t>
  </si>
  <si>
    <t xml:space="preserve">Obligatorio al registrar.</t>
  </si>
  <si>
    <t xml:space="preserve">Nombre de usuario (@)</t>
  </si>
  <si>
    <t xml:space="preserve">profiles.username</t>
  </si>
  <si>
    <t xml:space="preserve">Único en la plataforma.</t>
  </si>
  <si>
    <t xml:space="preserve">Código AthlonX</t>
  </si>
  <si>
    <t xml:space="preserve">profiles.athlonx_code</t>
  </si>
  <si>
    <t xml:space="preserve">Código para invitaciones y búsqueda.</t>
  </si>
  <si>
    <t xml:space="preserve">Foto de perfil</t>
  </si>
  <si>
    <t xml:space="preserve">Opcional</t>
  </si>
  <si>
    <t xml:space="preserve">avatar_url</t>
  </si>
  <si>
    <t xml:space="preserve">Falta crear</t>
  </si>
  <si>
    <t xml:space="preserve">Decidir si es opcional.</t>
  </si>
  <si>
    <t xml:space="preserve">Correo electrónico</t>
  </si>
  <si>
    <t xml:space="preserve">Dueño</t>
  </si>
  <si>
    <t xml:space="preserve">auth.users.email</t>
  </si>
  <si>
    <t xml:space="preserve">Existe y se muestra</t>
  </si>
  <si>
    <t xml:space="preserve">Solo visible para la persona.</t>
  </si>
  <si>
    <t xml:space="preserve">Teléfono</t>
  </si>
  <si>
    <t xml:space="preserve">Contacto</t>
  </si>
  <si>
    <t xml:space="preserve">Organización</t>
  </si>
  <si>
    <t xml:space="preserve">profiles.phone</t>
  </si>
  <si>
    <t xml:space="preserve">Opcional para el público.</t>
  </si>
  <si>
    <t xml:space="preserve">Correo verificado</t>
  </si>
  <si>
    <t xml:space="preserve">profiles.email_verified</t>
  </si>
  <si>
    <t xml:space="preserve">Contacto de emergencia</t>
  </si>
  <si>
    <t xml:space="preserve">Nombre, parentesco y teléfono.</t>
  </si>
  <si>
    <t xml:space="preserve">Fecha de nacimiento</t>
  </si>
  <si>
    <t xml:space="preserve">Personal</t>
  </si>
  <si>
    <t xml:space="preserve">profiles.birth_date</t>
  </si>
  <si>
    <t xml:space="preserve">Dato privado.</t>
  </si>
  <si>
    <t xml:space="preserve">Tipo de sangre</t>
  </si>
  <si>
    <t xml:space="preserve">profiles.blood_type</t>
  </si>
  <si>
    <t xml:space="preserve">Dato privado. Solo para atletas en la práctica.</t>
  </si>
  <si>
    <t xml:space="preserve">Roles activos</t>
  </si>
  <si>
    <t xml:space="preserve">Cuenta</t>
  </si>
  <si>
    <t xml:space="preserve">user_roles / user_contexts (personal)</t>
  </si>
  <si>
    <t xml:space="preserve">Hoy el perfil lee user_roles y Configuración lee user_contexts. Unificar.</t>
  </si>
  <si>
    <t xml:space="preserve">Etiquetas de afiliación</t>
  </si>
  <si>
    <t xml:space="preserve">profile_affiliation_labels (vista)</t>
  </si>
  <si>
    <t xml:space="preserve">Sale de membresías activas.</t>
  </si>
  <si>
    <t xml:space="preserve">Equipos a los que pertenece</t>
  </si>
  <si>
    <t xml:space="preserve">Deportiva</t>
  </si>
  <si>
    <t xml:space="preserve">team_user_memberships / players</t>
  </si>
  <si>
    <t xml:space="preserve">Existe, solo en etiquetas</t>
  </si>
  <si>
    <t xml:space="preserve">Una persona puede estar en varios equipos.</t>
  </si>
  <si>
    <t xml:space="preserve">Disciplinas</t>
  </si>
  <si>
    <t xml:space="preserve">teams.discipline_id → disciplines</t>
  </si>
  <si>
    <t xml:space="preserve">Derivada de los equipos y organizaciones.</t>
  </si>
  <si>
    <t xml:space="preserve">Número de camiseta</t>
  </si>
  <si>
    <t xml:space="preserve">No</t>
  </si>
  <si>
    <t xml:space="preserve">Equipo</t>
  </si>
  <si>
    <t xml:space="preserve">players.shirt_number</t>
  </si>
  <si>
    <t xml:space="preserve">Puede variar por equipo.</t>
  </si>
  <si>
    <t xml:space="preserve">Posición</t>
  </si>
  <si>
    <t xml:space="preserve">Depende de la disciplina.</t>
  </si>
  <si>
    <t xml:space="preserve">Estadísticas personales</t>
  </si>
  <si>
    <t xml:space="preserve">Eventos de partido (match events)</t>
  </si>
  <si>
    <t xml:space="preserve">Solo partidos registrados.</t>
  </si>
  <si>
    <t xml:space="preserve">Próximos partidos</t>
  </si>
  <si>
    <t xml:space="preserve">fixtures de equipos del usuario</t>
  </si>
  <si>
    <t xml:space="preserve">Calendario personal.</t>
  </si>
  <si>
    <t xml:space="preserve">Equipos que dirige</t>
  </si>
  <si>
    <t xml:space="preserve">team_user_memberships (role = entrenador)</t>
  </si>
  <si>
    <t xml:space="preserve">Un entrenador puede dirigir varios equipos.</t>
  </si>
  <si>
    <t xml:space="preserve">Certificaciones</t>
  </si>
  <si>
    <t xml:space="preserve">Título o licencia deportiva.</t>
  </si>
  <si>
    <t xml:space="preserve">Área o cargo</t>
  </si>
  <si>
    <t xml:space="preserve">role_label en membresías</t>
  </si>
  <si>
    <t xml:space="preserve">Ej. utilero, médico, logística.</t>
  </si>
  <si>
    <t xml:space="preserve">Equipos asignados</t>
  </si>
  <si>
    <t xml:space="preserve">team_user_memberships (role = staff)</t>
  </si>
  <si>
    <t xml:space="preserve">Puede estar en varios equipos.</t>
  </si>
  <si>
    <t xml:space="preserve">Organizaciones que administra</t>
  </si>
  <si>
    <t xml:space="preserve">organization_members (owner / directivo)</t>
  </si>
  <si>
    <t xml:space="preserve">Puede administrar varias organizaciones.</t>
  </si>
  <si>
    <t xml:space="preserve">Torneos supervisados</t>
  </si>
  <si>
    <t xml:space="preserve">tournaments.organization_id</t>
  </si>
  <si>
    <t xml:space="preserve">Rol</t>
  </si>
  <si>
    <t xml:space="preserve">Qué la vincula con equipos u organizaciones</t>
  </si>
  <si>
    <t xml:space="preserve">Tabla en base de datos</t>
  </si>
  <si>
    <t xml:space="preserve">¿Puede tener varios?</t>
  </si>
  <si>
    <t xml:space="preserve">Ejemplo</t>
  </si>
  <si>
    <t xml:space="preserve">Jugador registrado en un equipo (número de camiseta y plantilla).</t>
  </si>
  <si>
    <t xml:space="preserve">players.user_id → team_players</t>
  </si>
  <si>
    <t xml:space="preserve">Sí, en varios equipos y disciplinas</t>
  </si>
  <si>
    <t xml:space="preserve">Juega fútbol 8 en un equipo y rugby en otro.</t>
  </si>
  <si>
    <t xml:space="preserve">Membresía con rol entrenador dentro de un equipo.</t>
  </si>
  <si>
    <t xml:space="preserve">Sí, puede dirigir varios equipos</t>
  </si>
  <si>
    <t xml:space="preserve">Dirige dos equipos de baloncesto.</t>
  </si>
  <si>
    <t xml:space="preserve">Membresía con rol staff dentro de un equipo u organización.</t>
  </si>
  <si>
    <t xml:space="preserve">team_user_memberships / organization_members (role = staff)</t>
  </si>
  <si>
    <t xml:space="preserve">Utilero en un equipo y logística de una organización.</t>
  </si>
  <si>
    <t xml:space="preserve">Miembro con rol owner o directivo de una organización.</t>
  </si>
  <si>
    <t xml:space="preserve">organization_members (role = owner / directivo)</t>
  </si>
  <si>
    <t xml:space="preserve">Sí, puede administrar varias organizaciones</t>
  </si>
  <si>
    <t xml:space="preserve">Presidente de una liga y directivo de un club.</t>
  </si>
  <si>
    <t xml:space="preserve">Otro / cualquiera</t>
  </si>
  <si>
    <t xml:space="preserve">Una persona puede combinar roles: atleta y entrenador, staff y directivo.</t>
  </si>
  <si>
    <t xml:space="preserve">user_roles + user_contexts + membresías</t>
  </si>
  <si>
    <t xml:space="preserve">Sí, todos los roles a la vez</t>
  </si>
  <si>
    <t xml:space="preserve">Atleta que también es entrenador de categorías menores.</t>
  </si>
  <si>
    <t xml:space="preserve">Dato</t>
  </si>
  <si>
    <t xml:space="preserve">Rol que lo usa</t>
  </si>
  <si>
    <t xml:space="preserve">Tabla propuesta</t>
  </si>
  <si>
    <t xml:space="preserve">Tipo sugerido</t>
  </si>
  <si>
    <t xml:space="preserve">Decisión pendiente</t>
  </si>
  <si>
    <t xml:space="preserve">Todos</t>
  </si>
  <si>
    <t xml:space="preserve">profiles</t>
  </si>
  <si>
    <t xml:space="preserve">avatar_url text</t>
  </si>
  <si>
    <t xml:space="preserve">¿Foto obligatoria u opcional?</t>
  </si>
  <si>
    <t xml:space="preserve">Posición del jugador</t>
  </si>
  <si>
    <t xml:space="preserve">players</t>
  </si>
  <si>
    <t xml:space="preserve">position text</t>
  </si>
  <si>
    <t xml:space="preserve">¿Depende de la disciplina? ¿Lista fija?</t>
  </si>
  <si>
    <t xml:space="preserve">Atleta, Entrenador</t>
  </si>
  <si>
    <t xml:space="preserve">profile_emergency_contacts</t>
  </si>
  <si>
    <t xml:space="preserve">tabla con nombre, parentesco y teléfono</t>
  </si>
  <si>
    <t xml:space="preserve">¿Quién puede verlo además de la persona?</t>
  </si>
  <si>
    <t xml:space="preserve">Certificaciones del entrenador</t>
  </si>
  <si>
    <t xml:space="preserve">coach_certifications</t>
  </si>
  <si>
    <t xml:space="preserve">tabla con título, emisor y vencimiento</t>
  </si>
  <si>
    <t xml:space="preserve">¿Se verifican por la organización?</t>
  </si>
  <si>
    <t xml:space="preserve">Área o cargo del staff</t>
  </si>
  <si>
    <t xml:space="preserve">Staff, Directivo</t>
  </si>
  <si>
    <t xml:space="preserve">ya existe como texto</t>
  </si>
  <si>
    <t xml:space="preserve">¿Lista fija de cargos o texto libre?</t>
  </si>
  <si>
    <t xml:space="preserve">Roles en una sola fuente</t>
  </si>
  <si>
    <t xml:space="preserve">user_roles / user_contexts</t>
  </si>
  <si>
    <t xml:space="preserve">unificar</t>
  </si>
  <si>
    <t xml:space="preserve">¿Cuál tabla es la fuente de verdad?</t>
  </si>
  <si>
    <t xml:space="preserve">Visibilidad por campo</t>
  </si>
  <si>
    <t xml:space="preserve">profile_privacy_settings</t>
  </si>
  <si>
    <t xml:space="preserve">tabla por usuario y campo</t>
  </si>
  <si>
    <t xml:space="preserve">¿Los campos privados los decide la persona o la organización?</t>
  </si>
  <si>
    <t xml:space="preserve">Resumen por rol</t>
  </si>
  <si>
    <t xml:space="preserve">Campos que muestra (Sí)</t>
  </si>
  <si>
    <t xml:space="preserve">Campos opcionales</t>
  </si>
  <si>
    <t xml:space="preserve">Campos que no aplican (No)</t>
  </si>
  <si>
    <t xml:space="preserve">Total de campos</t>
  </si>
  <si>
    <t xml:space="preserve">Nota: los conteos cambian al editar Sí, No u Opcional en la hoja 'Campos por rol'.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</si>
</sst>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8152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81522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1522"/>
        <bgColor rgb="FF000000"/>
      </patternFill>
    </fill>
    <fill>
      <patternFill patternType="solid">
        <fgColor rgb="FFE9FBD0"/>
        <bgColor rgb="FFFFF8E1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815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9FBD0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FB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8152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2" t="s">
        <v>2</v>
      </c>
    </row>
    <row r="5" customFormat="false" ht="30" hidden="false" customHeight="true" outlineLevel="0" collapsed="false">
      <c r="A5" s="2" t="s">
        <v>3</v>
      </c>
    </row>
    <row r="6" customFormat="false" ht="30" hidden="false" customHeight="true" outlineLevel="0" collapsed="false">
      <c r="A6" s="2" t="s">
        <v>4</v>
      </c>
    </row>
    <row r="7" customFormat="false" ht="30" hidden="false" customHeight="true" outlineLevel="0" collapsed="false">
      <c r="A7" s="2" t="s">
        <v>5</v>
      </c>
    </row>
    <row r="8" customFormat="false" ht="30" hidden="false" customHeight="true" outlineLevel="0" collapsed="false">
      <c r="A8" s="2" t="s">
        <v>6</v>
      </c>
    </row>
    <row r="9" customFormat="false" ht="30" hidden="false" customHeight="true" outlineLevel="0" collapsed="false">
      <c r="A9" s="2" t="s">
        <v>7</v>
      </c>
    </row>
    <row r="10" customFormat="false" ht="30" hidden="false" customHeight="tru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48"/>
  </cols>
  <sheetData>
    <row r="1" customFormat="false" ht="30" hidden="false" customHeight="true" outlineLevel="0" collapsed="false">
      <c r="A1" s="3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</row>
    <row r="2" customFormat="false" ht="15" hidden="false" customHeight="false" outlineLevel="0" collapsed="false">
      <c r="A2" s="5" t="s">
        <v>19</v>
      </c>
      <c r="B2" s="6" t="s">
        <v>20</v>
      </c>
      <c r="C2" s="7" t="s">
        <v>21</v>
      </c>
      <c r="D2" s="7" t="s">
        <v>21</v>
      </c>
      <c r="E2" s="7" t="s">
        <v>21</v>
      </c>
      <c r="F2" s="7" t="s">
        <v>21</v>
      </c>
      <c r="G2" s="5" t="s">
        <v>22</v>
      </c>
      <c r="H2" s="5" t="s">
        <v>23</v>
      </c>
      <c r="I2" s="5" t="s">
        <v>24</v>
      </c>
      <c r="J2" s="5" t="s">
        <v>25</v>
      </c>
    </row>
    <row r="3" customFormat="false" ht="15" hidden="false" customHeight="false" outlineLevel="0" collapsed="false">
      <c r="A3" s="5" t="s">
        <v>26</v>
      </c>
      <c r="B3" s="6" t="s">
        <v>20</v>
      </c>
      <c r="C3" s="7" t="s">
        <v>21</v>
      </c>
      <c r="D3" s="7" t="s">
        <v>21</v>
      </c>
      <c r="E3" s="7" t="s">
        <v>21</v>
      </c>
      <c r="F3" s="7" t="s">
        <v>21</v>
      </c>
      <c r="G3" s="5" t="s">
        <v>22</v>
      </c>
      <c r="H3" s="5" t="s">
        <v>27</v>
      </c>
      <c r="I3" s="5" t="s">
        <v>24</v>
      </c>
      <c r="J3" s="5" t="s">
        <v>28</v>
      </c>
    </row>
    <row r="4" customFormat="false" ht="15" hidden="false" customHeight="false" outlineLevel="0" collapsed="false">
      <c r="A4" s="5" t="s">
        <v>29</v>
      </c>
      <c r="B4" s="6" t="s">
        <v>20</v>
      </c>
      <c r="C4" s="7" t="s">
        <v>21</v>
      </c>
      <c r="D4" s="7" t="s">
        <v>21</v>
      </c>
      <c r="E4" s="7" t="s">
        <v>21</v>
      </c>
      <c r="F4" s="7" t="s">
        <v>21</v>
      </c>
      <c r="G4" s="5" t="s">
        <v>22</v>
      </c>
      <c r="H4" s="5" t="s">
        <v>30</v>
      </c>
      <c r="I4" s="5" t="s">
        <v>24</v>
      </c>
      <c r="J4" s="5" t="s">
        <v>31</v>
      </c>
    </row>
    <row r="5" customFormat="false" ht="15" hidden="false" customHeight="false" outlineLevel="0" collapsed="false">
      <c r="A5" s="5" t="s">
        <v>32</v>
      </c>
      <c r="B5" s="6" t="s">
        <v>20</v>
      </c>
      <c r="C5" s="7" t="s">
        <v>21</v>
      </c>
      <c r="D5" s="7" t="s">
        <v>21</v>
      </c>
      <c r="E5" s="7" t="s">
        <v>21</v>
      </c>
      <c r="F5" s="7" t="s">
        <v>21</v>
      </c>
      <c r="G5" s="5" t="s">
        <v>22</v>
      </c>
      <c r="H5" s="5" t="s">
        <v>33</v>
      </c>
      <c r="I5" s="5" t="s">
        <v>24</v>
      </c>
      <c r="J5" s="5" t="s">
        <v>34</v>
      </c>
    </row>
    <row r="6" customFormat="false" ht="15" hidden="false" customHeight="false" outlineLevel="0" collapsed="false">
      <c r="A6" s="5" t="s">
        <v>35</v>
      </c>
      <c r="B6" s="6" t="s">
        <v>20</v>
      </c>
      <c r="C6" s="7" t="s">
        <v>36</v>
      </c>
      <c r="D6" s="7" t="s">
        <v>36</v>
      </c>
      <c r="E6" s="7" t="s">
        <v>36</v>
      </c>
      <c r="F6" s="7" t="s">
        <v>36</v>
      </c>
      <c r="G6" s="5" t="s">
        <v>22</v>
      </c>
      <c r="H6" s="5" t="s">
        <v>37</v>
      </c>
      <c r="I6" s="5" t="s">
        <v>38</v>
      </c>
      <c r="J6" s="5" t="s">
        <v>39</v>
      </c>
    </row>
    <row r="7" customFormat="false" ht="15" hidden="false" customHeight="false" outlineLevel="0" collapsed="false">
      <c r="A7" s="5" t="s">
        <v>40</v>
      </c>
      <c r="B7" s="6" t="s">
        <v>20</v>
      </c>
      <c r="C7" s="7" t="s">
        <v>21</v>
      </c>
      <c r="D7" s="7" t="s">
        <v>21</v>
      </c>
      <c r="E7" s="7" t="s">
        <v>21</v>
      </c>
      <c r="F7" s="7" t="s">
        <v>21</v>
      </c>
      <c r="G7" s="5" t="s">
        <v>41</v>
      </c>
      <c r="H7" s="5" t="s">
        <v>42</v>
      </c>
      <c r="I7" s="5" t="s">
        <v>43</v>
      </c>
      <c r="J7" s="5" t="s">
        <v>44</v>
      </c>
    </row>
    <row r="8" customFormat="false" ht="15" hidden="false" customHeight="false" outlineLevel="0" collapsed="false">
      <c r="A8" s="5" t="s">
        <v>45</v>
      </c>
      <c r="B8" s="6" t="s">
        <v>46</v>
      </c>
      <c r="C8" s="7" t="s">
        <v>21</v>
      </c>
      <c r="D8" s="7" t="s">
        <v>21</v>
      </c>
      <c r="E8" s="7" t="s">
        <v>21</v>
      </c>
      <c r="F8" s="7" t="s">
        <v>21</v>
      </c>
      <c r="G8" s="5" t="s">
        <v>47</v>
      </c>
      <c r="H8" s="5" t="s">
        <v>48</v>
      </c>
      <c r="I8" s="5" t="s">
        <v>43</v>
      </c>
      <c r="J8" s="5" t="s">
        <v>49</v>
      </c>
    </row>
    <row r="9" customFormat="false" ht="15" hidden="false" customHeight="false" outlineLevel="0" collapsed="false">
      <c r="A9" s="5" t="s">
        <v>50</v>
      </c>
      <c r="B9" s="6" t="s">
        <v>46</v>
      </c>
      <c r="C9" s="7" t="s">
        <v>21</v>
      </c>
      <c r="D9" s="7" t="s">
        <v>21</v>
      </c>
      <c r="E9" s="7" t="s">
        <v>21</v>
      </c>
      <c r="F9" s="7" t="s">
        <v>21</v>
      </c>
      <c r="G9" s="5" t="s">
        <v>41</v>
      </c>
      <c r="H9" s="5" t="s">
        <v>51</v>
      </c>
      <c r="I9" s="5" t="s">
        <v>43</v>
      </c>
      <c r="J9" s="5"/>
    </row>
    <row r="10" customFormat="false" ht="15" hidden="false" customHeight="false" outlineLevel="0" collapsed="false">
      <c r="A10" s="5" t="s">
        <v>52</v>
      </c>
      <c r="B10" s="6" t="s">
        <v>46</v>
      </c>
      <c r="C10" s="7" t="s">
        <v>21</v>
      </c>
      <c r="D10" s="7" t="s">
        <v>36</v>
      </c>
      <c r="E10" s="7" t="s">
        <v>36</v>
      </c>
      <c r="F10" s="7" t="s">
        <v>36</v>
      </c>
      <c r="G10" s="5" t="s">
        <v>41</v>
      </c>
      <c r="H10" s="5" t="s">
        <v>38</v>
      </c>
      <c r="I10" s="5" t="s">
        <v>38</v>
      </c>
      <c r="J10" s="5" t="s">
        <v>53</v>
      </c>
    </row>
    <row r="11" customFormat="false" ht="15" hidden="false" customHeight="false" outlineLevel="0" collapsed="false">
      <c r="A11" s="5" t="s">
        <v>54</v>
      </c>
      <c r="B11" s="6" t="s">
        <v>55</v>
      </c>
      <c r="C11" s="7" t="s">
        <v>21</v>
      </c>
      <c r="D11" s="7" t="s">
        <v>21</v>
      </c>
      <c r="E11" s="7" t="s">
        <v>21</v>
      </c>
      <c r="F11" s="7" t="s">
        <v>21</v>
      </c>
      <c r="G11" s="5" t="s">
        <v>41</v>
      </c>
      <c r="H11" s="5" t="s">
        <v>56</v>
      </c>
      <c r="I11" s="5" t="s">
        <v>24</v>
      </c>
      <c r="J11" s="5" t="s">
        <v>57</v>
      </c>
    </row>
    <row r="12" customFormat="false" ht="15" hidden="false" customHeight="false" outlineLevel="0" collapsed="false">
      <c r="A12" s="5" t="s">
        <v>58</v>
      </c>
      <c r="B12" s="6" t="s">
        <v>55</v>
      </c>
      <c r="C12" s="7" t="s">
        <v>21</v>
      </c>
      <c r="D12" s="7" t="s">
        <v>36</v>
      </c>
      <c r="E12" s="7" t="s">
        <v>36</v>
      </c>
      <c r="F12" s="7" t="s">
        <v>36</v>
      </c>
      <c r="G12" s="5" t="s">
        <v>41</v>
      </c>
      <c r="H12" s="5" t="s">
        <v>59</v>
      </c>
      <c r="I12" s="5" t="s">
        <v>24</v>
      </c>
      <c r="J12" s="5" t="s">
        <v>60</v>
      </c>
    </row>
    <row r="13" customFormat="false" ht="23.85" hidden="false" customHeight="false" outlineLevel="0" collapsed="false">
      <c r="A13" s="5" t="s">
        <v>61</v>
      </c>
      <c r="B13" s="6" t="s">
        <v>62</v>
      </c>
      <c r="C13" s="7" t="s">
        <v>21</v>
      </c>
      <c r="D13" s="7" t="s">
        <v>21</v>
      </c>
      <c r="E13" s="7" t="s">
        <v>21</v>
      </c>
      <c r="F13" s="7" t="s">
        <v>21</v>
      </c>
      <c r="G13" s="5" t="s">
        <v>22</v>
      </c>
      <c r="H13" s="5" t="s">
        <v>63</v>
      </c>
      <c r="I13" s="5" t="s">
        <v>43</v>
      </c>
      <c r="J13" s="5" t="s">
        <v>64</v>
      </c>
    </row>
    <row r="14" customFormat="false" ht="15" hidden="false" customHeight="false" outlineLevel="0" collapsed="false">
      <c r="A14" s="5" t="s">
        <v>65</v>
      </c>
      <c r="B14" s="6" t="s">
        <v>62</v>
      </c>
      <c r="C14" s="7" t="s">
        <v>21</v>
      </c>
      <c r="D14" s="7" t="s">
        <v>21</v>
      </c>
      <c r="E14" s="7" t="s">
        <v>21</v>
      </c>
      <c r="F14" s="7" t="s">
        <v>21</v>
      </c>
      <c r="G14" s="5" t="s">
        <v>22</v>
      </c>
      <c r="H14" s="5" t="s">
        <v>66</v>
      </c>
      <c r="I14" s="5" t="s">
        <v>43</v>
      </c>
      <c r="J14" s="5" t="s">
        <v>67</v>
      </c>
    </row>
    <row r="15" customFormat="false" ht="15" hidden="false" customHeight="false" outlineLevel="0" collapsed="false">
      <c r="A15" s="5" t="s">
        <v>68</v>
      </c>
      <c r="B15" s="6" t="s">
        <v>69</v>
      </c>
      <c r="C15" s="7" t="s">
        <v>21</v>
      </c>
      <c r="D15" s="7" t="s">
        <v>21</v>
      </c>
      <c r="E15" s="7" t="s">
        <v>21</v>
      </c>
      <c r="F15" s="7" t="s">
        <v>21</v>
      </c>
      <c r="G15" s="5" t="s">
        <v>22</v>
      </c>
      <c r="H15" s="5" t="s">
        <v>70</v>
      </c>
      <c r="I15" s="5" t="s">
        <v>71</v>
      </c>
      <c r="J15" s="5" t="s">
        <v>72</v>
      </c>
    </row>
    <row r="16" customFormat="false" ht="15" hidden="false" customHeight="false" outlineLevel="0" collapsed="false">
      <c r="A16" s="5" t="s">
        <v>73</v>
      </c>
      <c r="B16" s="6" t="s">
        <v>69</v>
      </c>
      <c r="C16" s="7" t="s">
        <v>21</v>
      </c>
      <c r="D16" s="7" t="s">
        <v>21</v>
      </c>
      <c r="E16" s="7" t="s">
        <v>21</v>
      </c>
      <c r="F16" s="7" t="s">
        <v>21</v>
      </c>
      <c r="G16" s="5" t="s">
        <v>22</v>
      </c>
      <c r="H16" s="5" t="s">
        <v>74</v>
      </c>
      <c r="I16" s="5" t="s">
        <v>24</v>
      </c>
      <c r="J16" s="5" t="s">
        <v>75</v>
      </c>
    </row>
    <row r="17" customFormat="false" ht="15" hidden="false" customHeight="false" outlineLevel="0" collapsed="false">
      <c r="A17" s="5" t="s">
        <v>76</v>
      </c>
      <c r="B17" s="6" t="s">
        <v>69</v>
      </c>
      <c r="C17" s="7" t="s">
        <v>21</v>
      </c>
      <c r="D17" s="7" t="s">
        <v>77</v>
      </c>
      <c r="E17" s="7" t="s">
        <v>77</v>
      </c>
      <c r="F17" s="7" t="s">
        <v>77</v>
      </c>
      <c r="G17" s="5" t="s">
        <v>78</v>
      </c>
      <c r="H17" s="5" t="s">
        <v>79</v>
      </c>
      <c r="I17" s="5" t="s">
        <v>24</v>
      </c>
      <c r="J17" s="5" t="s">
        <v>80</v>
      </c>
    </row>
    <row r="18" customFormat="false" ht="15" hidden="false" customHeight="false" outlineLevel="0" collapsed="false">
      <c r="A18" s="5" t="s">
        <v>81</v>
      </c>
      <c r="B18" s="6" t="s">
        <v>69</v>
      </c>
      <c r="C18" s="7" t="s">
        <v>21</v>
      </c>
      <c r="D18" s="7" t="s">
        <v>77</v>
      </c>
      <c r="E18" s="7" t="s">
        <v>77</v>
      </c>
      <c r="F18" s="7" t="s">
        <v>77</v>
      </c>
      <c r="G18" s="5" t="s">
        <v>22</v>
      </c>
      <c r="H18" s="5" t="s">
        <v>38</v>
      </c>
      <c r="I18" s="5" t="s">
        <v>38</v>
      </c>
      <c r="J18" s="5" t="s">
        <v>82</v>
      </c>
    </row>
    <row r="19" customFormat="false" ht="15" hidden="false" customHeight="false" outlineLevel="0" collapsed="false">
      <c r="A19" s="5" t="s">
        <v>83</v>
      </c>
      <c r="B19" s="6" t="s">
        <v>69</v>
      </c>
      <c r="C19" s="7" t="s">
        <v>21</v>
      </c>
      <c r="D19" s="7" t="s">
        <v>21</v>
      </c>
      <c r="E19" s="7" t="s">
        <v>77</v>
      </c>
      <c r="F19" s="7" t="s">
        <v>77</v>
      </c>
      <c r="G19" s="5" t="s">
        <v>22</v>
      </c>
      <c r="H19" s="5" t="s">
        <v>84</v>
      </c>
      <c r="I19" s="5" t="s">
        <v>24</v>
      </c>
      <c r="J19" s="5" t="s">
        <v>85</v>
      </c>
    </row>
    <row r="20" customFormat="false" ht="15" hidden="false" customHeight="false" outlineLevel="0" collapsed="false">
      <c r="A20" s="5" t="s">
        <v>86</v>
      </c>
      <c r="B20" s="6" t="s">
        <v>69</v>
      </c>
      <c r="C20" s="7" t="s">
        <v>21</v>
      </c>
      <c r="D20" s="7" t="s">
        <v>21</v>
      </c>
      <c r="E20" s="7" t="s">
        <v>21</v>
      </c>
      <c r="F20" s="7" t="s">
        <v>21</v>
      </c>
      <c r="G20" s="5" t="s">
        <v>78</v>
      </c>
      <c r="H20" s="5" t="s">
        <v>87</v>
      </c>
      <c r="I20" s="5" t="s">
        <v>24</v>
      </c>
      <c r="J20" s="5" t="s">
        <v>88</v>
      </c>
    </row>
    <row r="21" customFormat="false" ht="23.85" hidden="false" customHeight="false" outlineLevel="0" collapsed="false">
      <c r="A21" s="5" t="s">
        <v>89</v>
      </c>
      <c r="B21" s="6" t="s">
        <v>12</v>
      </c>
      <c r="C21" s="7" t="s">
        <v>77</v>
      </c>
      <c r="D21" s="7" t="s">
        <v>21</v>
      </c>
      <c r="E21" s="7" t="s">
        <v>77</v>
      </c>
      <c r="F21" s="7" t="s">
        <v>77</v>
      </c>
      <c r="G21" s="5" t="s">
        <v>22</v>
      </c>
      <c r="H21" s="5" t="s">
        <v>90</v>
      </c>
      <c r="I21" s="5" t="s">
        <v>71</v>
      </c>
      <c r="J21" s="5" t="s">
        <v>91</v>
      </c>
    </row>
    <row r="22" customFormat="false" ht="15" hidden="false" customHeight="false" outlineLevel="0" collapsed="false">
      <c r="A22" s="5" t="s">
        <v>92</v>
      </c>
      <c r="B22" s="6" t="s">
        <v>12</v>
      </c>
      <c r="C22" s="7" t="s">
        <v>77</v>
      </c>
      <c r="D22" s="7" t="s">
        <v>36</v>
      </c>
      <c r="E22" s="7" t="s">
        <v>77</v>
      </c>
      <c r="F22" s="7" t="s">
        <v>77</v>
      </c>
      <c r="G22" s="5" t="s">
        <v>22</v>
      </c>
      <c r="H22" s="5" t="s">
        <v>38</v>
      </c>
      <c r="I22" s="5" t="s">
        <v>38</v>
      </c>
      <c r="J22" s="5" t="s">
        <v>93</v>
      </c>
    </row>
    <row r="23" customFormat="false" ht="15" hidden="false" customHeight="false" outlineLevel="0" collapsed="false">
      <c r="A23" s="5" t="s">
        <v>94</v>
      </c>
      <c r="B23" s="6" t="s">
        <v>13</v>
      </c>
      <c r="C23" s="7" t="s">
        <v>77</v>
      </c>
      <c r="D23" s="7" t="s">
        <v>77</v>
      </c>
      <c r="E23" s="7" t="s">
        <v>21</v>
      </c>
      <c r="F23" s="7" t="s">
        <v>21</v>
      </c>
      <c r="G23" s="5" t="s">
        <v>22</v>
      </c>
      <c r="H23" s="5" t="s">
        <v>95</v>
      </c>
      <c r="I23" s="5" t="s">
        <v>71</v>
      </c>
      <c r="J23" s="5" t="s">
        <v>96</v>
      </c>
    </row>
    <row r="24" customFormat="false" ht="15" hidden="false" customHeight="false" outlineLevel="0" collapsed="false">
      <c r="A24" s="5" t="s">
        <v>97</v>
      </c>
      <c r="B24" s="6" t="s">
        <v>13</v>
      </c>
      <c r="C24" s="7" t="s">
        <v>77</v>
      </c>
      <c r="D24" s="7" t="s">
        <v>77</v>
      </c>
      <c r="E24" s="7" t="s">
        <v>21</v>
      </c>
      <c r="F24" s="7" t="s">
        <v>77</v>
      </c>
      <c r="G24" s="5" t="s">
        <v>78</v>
      </c>
      <c r="H24" s="5" t="s">
        <v>98</v>
      </c>
      <c r="I24" s="5" t="s">
        <v>71</v>
      </c>
      <c r="J24" s="5" t="s">
        <v>99</v>
      </c>
    </row>
    <row r="25" customFormat="false" ht="15" hidden="false" customHeight="false" outlineLevel="0" collapsed="false">
      <c r="A25" s="5" t="s">
        <v>100</v>
      </c>
      <c r="B25" s="6" t="s">
        <v>14</v>
      </c>
      <c r="C25" s="7" t="s">
        <v>77</v>
      </c>
      <c r="D25" s="7" t="s">
        <v>77</v>
      </c>
      <c r="E25" s="7" t="s">
        <v>77</v>
      </c>
      <c r="F25" s="7" t="s">
        <v>21</v>
      </c>
      <c r="G25" s="5" t="s">
        <v>22</v>
      </c>
      <c r="H25" s="5" t="s">
        <v>101</v>
      </c>
      <c r="I25" s="5" t="s">
        <v>71</v>
      </c>
      <c r="J25" s="5" t="s">
        <v>102</v>
      </c>
    </row>
    <row r="26" customFormat="false" ht="15" hidden="false" customHeight="false" outlineLevel="0" collapsed="false">
      <c r="A26" s="5" t="s">
        <v>103</v>
      </c>
      <c r="B26" s="6" t="s">
        <v>14</v>
      </c>
      <c r="C26" s="7" t="s">
        <v>77</v>
      </c>
      <c r="D26" s="7" t="s">
        <v>77</v>
      </c>
      <c r="E26" s="7" t="s">
        <v>77</v>
      </c>
      <c r="F26" s="7" t="s">
        <v>21</v>
      </c>
      <c r="G26" s="5" t="s">
        <v>47</v>
      </c>
      <c r="H26" s="5" t="s">
        <v>104</v>
      </c>
      <c r="I26" s="5" t="s">
        <v>24</v>
      </c>
      <c r="J26" s="5"/>
    </row>
  </sheetData>
  <autoFilter ref="A1:J26"/>
  <dataValidations count="2">
    <dataValidation allowBlank="false" errorStyle="stop" operator="between" showDropDown="false" showErrorMessage="false" showInputMessage="false" sqref="C2:F26" type="list">
      <formula1>"Sí,No,Opcional"</formula1>
      <formula2>0</formula2>
    </dataValidation>
    <dataValidation allowBlank="false" errorStyle="stop" operator="between" showDropDown="false" showErrorMessage="false" showInputMessage="false" sqref="G2:G26" type="list">
      <formula1>"Dueño,Público,Equipo,Organización"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3" t="s">
        <v>105</v>
      </c>
      <c r="B1" s="4" t="s">
        <v>106</v>
      </c>
      <c r="C1" s="4" t="s">
        <v>107</v>
      </c>
      <c r="D1" s="4" t="s">
        <v>108</v>
      </c>
      <c r="E1" s="4" t="s">
        <v>109</v>
      </c>
    </row>
    <row r="2" customFormat="false" ht="23.85" hidden="false" customHeight="false" outlineLevel="0" collapsed="false">
      <c r="A2" s="5" t="s">
        <v>11</v>
      </c>
      <c r="B2" s="5" t="s">
        <v>110</v>
      </c>
      <c r="C2" s="5" t="s">
        <v>111</v>
      </c>
      <c r="D2" s="5" t="s">
        <v>112</v>
      </c>
      <c r="E2" s="5" t="s">
        <v>113</v>
      </c>
    </row>
    <row r="3" customFormat="false" ht="15" hidden="false" customHeight="false" outlineLevel="0" collapsed="false">
      <c r="A3" s="5" t="s">
        <v>12</v>
      </c>
      <c r="B3" s="5" t="s">
        <v>114</v>
      </c>
      <c r="C3" s="5" t="s">
        <v>90</v>
      </c>
      <c r="D3" s="5" t="s">
        <v>115</v>
      </c>
      <c r="E3" s="5" t="s">
        <v>116</v>
      </c>
    </row>
    <row r="4" customFormat="false" ht="23.85" hidden="false" customHeight="false" outlineLevel="0" collapsed="false">
      <c r="A4" s="5" t="s">
        <v>13</v>
      </c>
      <c r="B4" s="5" t="s">
        <v>117</v>
      </c>
      <c r="C4" s="5" t="s">
        <v>118</v>
      </c>
      <c r="D4" s="5" t="s">
        <v>21</v>
      </c>
      <c r="E4" s="5" t="s">
        <v>119</v>
      </c>
    </row>
    <row r="5" customFormat="false" ht="23.85" hidden="false" customHeight="false" outlineLevel="0" collapsed="false">
      <c r="A5" s="5" t="s">
        <v>14</v>
      </c>
      <c r="B5" s="5" t="s">
        <v>120</v>
      </c>
      <c r="C5" s="5" t="s">
        <v>121</v>
      </c>
      <c r="D5" s="5" t="s">
        <v>122</v>
      </c>
      <c r="E5" s="5" t="s">
        <v>123</v>
      </c>
    </row>
    <row r="6" customFormat="false" ht="23.85" hidden="false" customHeight="false" outlineLevel="0" collapsed="false">
      <c r="A6" s="5" t="s">
        <v>124</v>
      </c>
      <c r="B6" s="5" t="s">
        <v>125</v>
      </c>
      <c r="C6" s="5" t="s">
        <v>126</v>
      </c>
      <c r="D6" s="5" t="s">
        <v>127</v>
      </c>
      <c r="E6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3" t="s">
        <v>129</v>
      </c>
      <c r="B1" s="4" t="s">
        <v>130</v>
      </c>
      <c r="C1" s="4" t="s">
        <v>131</v>
      </c>
      <c r="D1" s="4" t="s">
        <v>132</v>
      </c>
      <c r="E1" s="4" t="s">
        <v>133</v>
      </c>
    </row>
    <row r="2" customFormat="false" ht="15" hidden="false" customHeight="false" outlineLevel="0" collapsed="false">
      <c r="A2" s="5" t="s">
        <v>35</v>
      </c>
      <c r="B2" s="5" t="s">
        <v>134</v>
      </c>
      <c r="C2" s="5" t="s">
        <v>135</v>
      </c>
      <c r="D2" s="5" t="s">
        <v>136</v>
      </c>
      <c r="E2" s="8" t="s">
        <v>137</v>
      </c>
    </row>
    <row r="3" customFormat="false" ht="15" hidden="false" customHeight="false" outlineLevel="0" collapsed="false">
      <c r="A3" s="5" t="s">
        <v>138</v>
      </c>
      <c r="B3" s="5" t="s">
        <v>11</v>
      </c>
      <c r="C3" s="5" t="s">
        <v>139</v>
      </c>
      <c r="D3" s="5" t="s">
        <v>140</v>
      </c>
      <c r="E3" s="8" t="s">
        <v>141</v>
      </c>
    </row>
    <row r="4" customFormat="false" ht="15" hidden="false" customHeight="false" outlineLevel="0" collapsed="false">
      <c r="A4" s="5" t="s">
        <v>52</v>
      </c>
      <c r="B4" s="5" t="s">
        <v>142</v>
      </c>
      <c r="C4" s="5" t="s">
        <v>143</v>
      </c>
      <c r="D4" s="5" t="s">
        <v>144</v>
      </c>
      <c r="E4" s="8" t="s">
        <v>145</v>
      </c>
    </row>
    <row r="5" customFormat="false" ht="15" hidden="false" customHeight="false" outlineLevel="0" collapsed="false">
      <c r="A5" s="5" t="s">
        <v>146</v>
      </c>
      <c r="B5" s="5" t="s">
        <v>12</v>
      </c>
      <c r="C5" s="5" t="s">
        <v>147</v>
      </c>
      <c r="D5" s="5" t="s">
        <v>148</v>
      </c>
      <c r="E5" s="8" t="s">
        <v>149</v>
      </c>
    </row>
    <row r="6" customFormat="false" ht="15" hidden="false" customHeight="false" outlineLevel="0" collapsed="false">
      <c r="A6" s="5" t="s">
        <v>150</v>
      </c>
      <c r="B6" s="5" t="s">
        <v>151</v>
      </c>
      <c r="C6" s="5" t="s">
        <v>95</v>
      </c>
      <c r="D6" s="5" t="s">
        <v>152</v>
      </c>
      <c r="E6" s="8" t="s">
        <v>153</v>
      </c>
    </row>
    <row r="7" customFormat="false" ht="15" hidden="false" customHeight="false" outlineLevel="0" collapsed="false">
      <c r="A7" s="5" t="s">
        <v>154</v>
      </c>
      <c r="B7" s="5" t="s">
        <v>134</v>
      </c>
      <c r="C7" s="5" t="s">
        <v>155</v>
      </c>
      <c r="D7" s="5" t="s">
        <v>156</v>
      </c>
      <c r="E7" s="8" t="s">
        <v>157</v>
      </c>
    </row>
    <row r="8" customFormat="false" ht="23.85" hidden="false" customHeight="false" outlineLevel="0" collapsed="false">
      <c r="A8" s="5" t="s">
        <v>158</v>
      </c>
      <c r="B8" s="5" t="s">
        <v>134</v>
      </c>
      <c r="C8" s="5" t="s">
        <v>159</v>
      </c>
      <c r="D8" s="5" t="s">
        <v>160</v>
      </c>
      <c r="E8" s="8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9" t="s">
        <v>162</v>
      </c>
    </row>
    <row r="3" customFormat="false" ht="15" hidden="false" customHeight="false" outlineLevel="0" collapsed="false">
      <c r="A3" s="3" t="s">
        <v>105</v>
      </c>
      <c r="B3" s="4" t="s">
        <v>163</v>
      </c>
      <c r="C3" s="4" t="s">
        <v>164</v>
      </c>
      <c r="D3" s="4" t="s">
        <v>165</v>
      </c>
      <c r="E3" s="4" t="s">
        <v>166</v>
      </c>
    </row>
    <row r="4" customFormat="false" ht="15" hidden="false" customHeight="false" outlineLevel="0" collapsed="false">
      <c r="A4" s="10" t="s">
        <v>11</v>
      </c>
      <c r="B4" s="11" t="n">
        <f aca="false">COUNTIF('Campos por rol'!C2:C26,"Sí")</f>
        <v>18</v>
      </c>
      <c r="C4" s="11" t="n">
        <f aca="false">COUNTIF('Campos por rol'!C2:C26,"Opcional")</f>
        <v>1</v>
      </c>
      <c r="D4" s="11" t="n">
        <f aca="false">COUNTIF('Campos por rol'!C2:C26,"No")</f>
        <v>6</v>
      </c>
      <c r="E4" s="11" t="n">
        <f aca="false">COUNTA('Campos por rol'!C2:C26)</f>
        <v>25</v>
      </c>
    </row>
    <row r="5" customFormat="false" ht="15" hidden="false" customHeight="false" outlineLevel="0" collapsed="false">
      <c r="A5" s="10" t="s">
        <v>12</v>
      </c>
      <c r="B5" s="11" t="n">
        <f aca="false">COUNTIF('Campos por rol'!D2:D26,"Sí")</f>
        <v>15</v>
      </c>
      <c r="C5" s="11" t="n">
        <f aca="false">COUNTIF('Campos por rol'!D2:D26,"Opcional")</f>
        <v>4</v>
      </c>
      <c r="D5" s="11" t="n">
        <f aca="false">COUNTIF('Campos por rol'!D2:D26,"No")</f>
        <v>6</v>
      </c>
      <c r="E5" s="11" t="n">
        <f aca="false">COUNTA('Campos por rol'!D2:D26)</f>
        <v>25</v>
      </c>
    </row>
    <row r="6" customFormat="false" ht="15" hidden="false" customHeight="false" outlineLevel="0" collapsed="false">
      <c r="A6" s="10" t="s">
        <v>13</v>
      </c>
      <c r="B6" s="11" t="n">
        <f aca="false">COUNTIF('Campos por rol'!E2:E26,"Sí")</f>
        <v>15</v>
      </c>
      <c r="C6" s="11" t="n">
        <f aca="false">COUNTIF('Campos por rol'!E2:E26,"Opcional")</f>
        <v>3</v>
      </c>
      <c r="D6" s="11" t="n">
        <f aca="false">COUNTIF('Campos por rol'!E2:E26,"No")</f>
        <v>7</v>
      </c>
      <c r="E6" s="11" t="n">
        <f aca="false">COUNTA('Campos por rol'!E2:E26)</f>
        <v>25</v>
      </c>
    </row>
    <row r="7" customFormat="false" ht="15" hidden="false" customHeight="false" outlineLevel="0" collapsed="false">
      <c r="A7" s="10" t="s">
        <v>14</v>
      </c>
      <c r="B7" s="11" t="n">
        <f aca="false">COUNTIF('Campos por rol'!F2:F26,"Sí")</f>
        <v>16</v>
      </c>
      <c r="C7" s="11" t="n">
        <f aca="false">COUNTIF('Campos por rol'!F2:F26,"Opcional")</f>
        <v>3</v>
      </c>
      <c r="D7" s="11" t="n">
        <f aca="false">COUNTIF('Campos por rol'!F2:F26,"No")</f>
        <v>6</v>
      </c>
      <c r="E7" s="11" t="n">
        <f aca="false">COUNTA('Campos por rol'!F2:F26)</f>
        <v>25</v>
      </c>
    </row>
    <row r="9" customFormat="false" ht="15" hidden="false" customHeight="false" outlineLevel="0" collapsed="false">
      <c r="A9" s="1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2026-10-14T02:23:01Z</dcterms:created>
  <dc:creator>openpyxl</dc:creator>
  <dc:description/>
  <dc:language>en-US</dc:language>
  <cp:lastModifiedBy/>
  <dcterms:modified xsi:type="dcterms:W3CDTF">2026-10-14T02:23:02Z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